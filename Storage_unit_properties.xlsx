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2BLOCK\CO2BLOCK_08_V10\"/>
    </mc:Choice>
  </mc:AlternateContent>
  <xr:revisionPtr revIDLastSave="0" documentId="13_ncr:1_{CE75787A-5232-4644-B1E8-6F839B3FFE2F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Storage_unit_properti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" l="1"/>
  <c r="B14" i="2"/>
  <c r="B13" i="2"/>
</calcChain>
</file>

<file path=xl/sharedStrings.xml><?xml version="1.0" encoding="utf-8"?>
<sst xmlns="http://schemas.openxmlformats.org/spreadsheetml/2006/main" count="60" uniqueCount="54">
  <si>
    <t>Parameter</t>
  </si>
  <si>
    <t>Value</t>
  </si>
  <si>
    <t>Description</t>
  </si>
  <si>
    <t>Units</t>
  </si>
  <si>
    <t>Reservoir geometry</t>
  </si>
  <si>
    <t>domain_type</t>
  </si>
  <si>
    <t>Open or Closed</t>
  </si>
  <si>
    <t>-</t>
  </si>
  <si>
    <t>m</t>
  </si>
  <si>
    <t>thick</t>
  </si>
  <si>
    <t>area_res</t>
  </si>
  <si>
    <t>km²</t>
  </si>
  <si>
    <t>perm</t>
  </si>
  <si>
    <t>Permeability</t>
  </si>
  <si>
    <t>mD</t>
  </si>
  <si>
    <t>por</t>
  </si>
  <si>
    <t>Porosity</t>
  </si>
  <si>
    <t>cr</t>
  </si>
  <si>
    <t>MPa⁻¹</t>
  </si>
  <si>
    <t>cw</t>
  </si>
  <si>
    <t>dens_c</t>
  </si>
  <si>
    <t>ton/m³</t>
  </si>
  <si>
    <t>visc_c</t>
  </si>
  <si>
    <t>cp</t>
  </si>
  <si>
    <t>visc_w</t>
  </si>
  <si>
    <t>salinity</t>
  </si>
  <si>
    <t>ppm</t>
  </si>
  <si>
    <t xml:space="preserve"> Fluid properties</t>
  </si>
  <si>
    <t xml:space="preserve"> Flow properties</t>
  </si>
  <si>
    <t>perm_dist</t>
  </si>
  <si>
    <t>Uncertainty</t>
  </si>
  <si>
    <t>perm_std</t>
  </si>
  <si>
    <t>Nor</t>
  </si>
  <si>
    <t>Distribution type (Nor/Uni)</t>
  </si>
  <si>
    <t>log10(mD)</t>
  </si>
  <si>
    <t xml:space="preserve"> </t>
  </si>
  <si>
    <r>
      <t xml:space="preserve">Using shape factor in calculation or not (yes or no) / </t>
    </r>
    <r>
      <rPr>
        <sz val="10"/>
        <color theme="9" tint="-0.249977111117893"/>
        <rFont val="Arial"/>
        <family val="2"/>
      </rPr>
      <t>⚠</t>
    </r>
    <r>
      <rPr>
        <sz val="10"/>
        <color theme="1"/>
        <rFont val="Arial"/>
        <family val="2"/>
      </rPr>
      <t xml:space="preserve"> Active only if domain_type  = Closed</t>
    </r>
  </si>
  <si>
    <t>y_length</t>
  </si>
  <si>
    <t>x_length</t>
  </si>
  <si>
    <t>km</t>
  </si>
  <si>
    <r>
      <t xml:space="preserve">Reservoir length / </t>
    </r>
    <r>
      <rPr>
        <sz val="10"/>
        <color theme="9" tint="-0.249977111117893"/>
        <rFont val="Arial"/>
        <family val="2"/>
      </rPr>
      <t>⚠</t>
    </r>
    <r>
      <rPr>
        <sz val="10"/>
        <color theme="1"/>
        <rFont val="Arial"/>
        <family val="2"/>
      </rPr>
      <t xml:space="preserve"> Active only if domain_type  = Closed</t>
    </r>
  </si>
  <si>
    <r>
      <t xml:space="preserve">Reservoir width / </t>
    </r>
    <r>
      <rPr>
        <sz val="10"/>
        <color theme="9" tint="-0.249977111117893"/>
        <rFont val="Arial"/>
        <family val="2"/>
      </rPr>
      <t>⚠</t>
    </r>
    <r>
      <rPr>
        <sz val="10"/>
        <color theme="1"/>
        <rFont val="Arial"/>
        <family val="2"/>
      </rPr>
      <t xml:space="preserve"> Active only if domain_type  = Closed</t>
    </r>
  </si>
  <si>
    <t>use_shape_factor</t>
  </si>
  <si>
    <t>Closed</t>
  </si>
  <si>
    <t>no</t>
  </si>
  <si>
    <t>Net reservoir thickness</t>
  </si>
  <si>
    <t>Reservoir area</t>
  </si>
  <si>
    <t>Rock compressibility (0=default(5e-4 MPa⁻¹))</t>
  </si>
  <si>
    <t>Water compressibility (0=default(3e-4 MPa⁻¹)</t>
  </si>
  <si>
    <t>Water viscosity (0=auto is computed from eos)</t>
  </si>
  <si>
    <t>Aquifer salinity (0= default (180,000 ppm))</t>
  </si>
  <si>
    <t>CO2 viscosity (0=auto is compute from eos)</t>
  </si>
  <si>
    <t>Uncertainty: std dev (Normal) or half-width (Uniform)</t>
  </si>
  <si>
    <t>CO2 density (0=auto: is computed from eos using T_mean, pres_mean, and salinity)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</si>
</sst>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3" tint="-0.499984740745262"/>
      <name val="Arial"/>
      <family val="2"/>
    </font>
    <font>
      <b/>
      <sz val="10"/>
      <color theme="0"/>
      <name val="Arial"/>
      <family val="2"/>
    </font>
    <font>
      <b/>
      <sz val="10"/>
      <color rgb="FF007A77"/>
      <name val="Arial"/>
      <family val="2"/>
    </font>
    <font>
      <sz val="10"/>
      <color rgb="FF007A7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9" tint="-0.249977111117893"/>
      <name val="Arial"/>
      <family val="2"/>
    </font>
    <font>
      <sz val="10"/>
      <color rgb="FF007A77"/>
      <name val="Consolas"/>
      <family val="3"/>
    </font>
    <font>
      <sz val="8"/>
      <name val="Calibri"/>
      <family val="2"/>
      <scheme val="minor"/>
    </font>
    <font>
      <sz val="10"/>
      <color rgb="FF008013"/>
      <name val="Consola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F2FB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6F0F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left" vertical="center"/>
    </xf>
    <xf numFmtId="0" fontId="23" fillId="34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0" fillId="35" borderId="0" xfId="0" applyFont="1" applyFill="1" applyAlignment="1">
      <alignment horizontal="center" vertical="center"/>
    </xf>
    <xf numFmtId="0" fontId="20" fillId="35" borderId="0" xfId="0" applyFont="1" applyFill="1"/>
    <xf numFmtId="0" fontId="25" fillId="0" borderId="0" xfId="0" applyFont="1"/>
    <xf numFmtId="0" fontId="27" fillId="0" borderId="0" xfId="0" applyFont="1" applyAlignment="1">
      <alignment horizontal="center" vertical="center"/>
    </xf>
    <xf numFmtId="0" fontId="14" fillId="0" borderId="0" xfId="0" applyFont="1"/>
    <xf numFmtId="0" fontId="18" fillId="0" borderId="0" xfId="0" applyFont="1" applyAlignment="1">
      <alignment horizontal="left" vertical="center" wrapText="1"/>
    </xf>
    <xf numFmtId="0" fontId="30" fillId="0" borderId="0" xfId="0" applyFont="1" applyAlignment="1">
      <alignment vertical="center"/>
    </xf>
    <xf numFmtId="0" fontId="28" fillId="0" borderId="0" xfId="0" applyFont="1" applyFill="1" applyAlignment="1">
      <alignment horizontal="left" vertical="center"/>
    </xf>
    <xf numFmtId="0" fontId="25" fillId="0" borderId="0" xfId="0" applyFont="1" applyFill="1" applyAlignment="1">
      <alignment horizontal="left" vertical="center"/>
    </xf>
    <xf numFmtId="0" fontId="0" fillId="0" borderId="0" xfId="0" applyFill="1"/>
    <xf numFmtId="0" fontId="32" fillId="0" borderId="0" xfId="0" applyFont="1" applyAlignment="1">
      <alignment horizontal="left" vertical="center" indent="3"/>
    </xf>
    <xf numFmtId="0" fontId="23" fillId="34" borderId="0" xfId="0" applyFont="1" applyFill="1" applyAlignment="1">
      <alignment horizontal="left" vertical="center" wrapText="1"/>
    </xf>
    <xf numFmtId="0" fontId="18" fillId="35" borderId="0" xfId="0" applyFont="1" applyFill="1" applyAlignment="1">
      <alignment horizontal="left" vertical="center" wrapText="1"/>
    </xf>
    <xf numFmtId="0" fontId="26" fillId="0" borderId="0" xfId="0" applyFont="1" applyAlignment="1">
      <alignment horizontal="left" wrapText="1"/>
    </xf>
    <xf numFmtId="0" fontId="25" fillId="0" borderId="0" xfId="0" applyFont="1" applyFill="1" applyAlignment="1">
      <alignment horizontal="left" vertical="center" wrapText="1"/>
    </xf>
    <xf numFmtId="0" fontId="27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22" fillId="33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F0FA"/>
      <color rgb="FF007A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9AEF-313F-4DB4-9FE6-5F2C042B68F2}">
  <dimension ref="A1:J42"/>
  <sheetViews>
    <sheetView tabSelected="1" zoomScaleNormal="100" workbookViewId="0">
      <selection activeCell="C37" sqref="C37"/>
    </sheetView>
  </sheetViews>
  <sheetFormatPr defaultRowHeight="15" x14ac:dyDescent="0.25"/>
  <cols>
    <col min="1" max="1" width="18.5703125" style="2" customWidth="1"/>
    <col min="2" max="2" width="18.5703125" style="3" customWidth="1"/>
    <col min="3" max="3" width="43.85546875" style="16" customWidth="1"/>
    <col min="4" max="4" width="18.5703125" style="3" customWidth="1"/>
    <col min="5" max="5" width="13.7109375" customWidth="1"/>
  </cols>
  <sheetData>
    <row r="1" spans="1:5" s="1" customFormat="1" x14ac:dyDescent="0.25">
      <c r="A1" s="5" t="s">
        <v>0</v>
      </c>
      <c r="B1" s="6" t="s">
        <v>1</v>
      </c>
      <c r="C1" s="22" t="s">
        <v>2</v>
      </c>
      <c r="D1" s="6" t="s">
        <v>3</v>
      </c>
      <c r="E1" s="7"/>
    </row>
    <row r="2" spans="1:5" x14ac:dyDescent="0.25">
      <c r="A2" s="29" t="s">
        <v>4</v>
      </c>
      <c r="B2" s="29"/>
      <c r="C2" s="29"/>
      <c r="D2" s="4"/>
    </row>
    <row r="3" spans="1:5" x14ac:dyDescent="0.25">
      <c r="A3" s="9" t="s">
        <v>5</v>
      </c>
      <c r="B3" s="3" t="s">
        <v>43</v>
      </c>
      <c r="C3" s="16" t="s">
        <v>6</v>
      </c>
      <c r="D3" s="10" t="s">
        <v>7</v>
      </c>
    </row>
    <row r="4" spans="1:5" ht="25.5" customHeight="1" x14ac:dyDescent="0.25">
      <c r="A4" s="17" t="s">
        <v>42</v>
      </c>
      <c r="B4" s="3" t="s">
        <v>44</v>
      </c>
      <c r="C4" s="16" t="s">
        <v>36</v>
      </c>
      <c r="D4" s="10" t="s">
        <v>7</v>
      </c>
    </row>
    <row r="5" spans="1:5" ht="25.5" x14ac:dyDescent="0.25">
      <c r="A5" s="17" t="s">
        <v>38</v>
      </c>
      <c r="B5" s="28">
        <v>67.13</v>
      </c>
      <c r="C5" s="16" t="s">
        <v>40</v>
      </c>
      <c r="D5" s="10" t="s">
        <v>39</v>
      </c>
    </row>
    <row r="6" spans="1:5" ht="25.5" x14ac:dyDescent="0.25">
      <c r="A6" s="17" t="s">
        <v>37</v>
      </c>
      <c r="B6" s="28">
        <v>146.07300000000001</v>
      </c>
      <c r="C6" s="16" t="s">
        <v>41</v>
      </c>
      <c r="D6" s="10" t="s">
        <v>39</v>
      </c>
    </row>
    <row r="7" spans="1:5" x14ac:dyDescent="0.25">
      <c r="A7" s="9" t="s">
        <v>9</v>
      </c>
      <c r="B7" s="26">
        <v>71</v>
      </c>
      <c r="C7" s="16" t="s">
        <v>45</v>
      </c>
      <c r="D7" s="10" t="s">
        <v>8</v>
      </c>
    </row>
    <row r="8" spans="1:5" x14ac:dyDescent="0.25">
      <c r="A8" s="9" t="s">
        <v>10</v>
      </c>
      <c r="B8" s="28">
        <f>B6*B5</f>
        <v>9805.8804899999996</v>
      </c>
      <c r="C8" s="16" t="s">
        <v>46</v>
      </c>
      <c r="D8" s="10" t="s">
        <v>11</v>
      </c>
    </row>
    <row r="9" spans="1:5" x14ac:dyDescent="0.25">
      <c r="D9" s="10"/>
    </row>
    <row r="10" spans="1:5" s="1" customFormat="1" x14ac:dyDescent="0.25">
      <c r="A10" s="29" t="s">
        <v>28</v>
      </c>
      <c r="B10" s="29"/>
      <c r="C10" s="29"/>
      <c r="D10" s="4"/>
    </row>
    <row r="11" spans="1:5" x14ac:dyDescent="0.25">
      <c r="A11" s="9" t="s">
        <v>12</v>
      </c>
      <c r="B11" s="27">
        <v>1045</v>
      </c>
      <c r="C11" s="16" t="s">
        <v>13</v>
      </c>
      <c r="D11" s="10" t="s">
        <v>14</v>
      </c>
    </row>
    <row r="12" spans="1:5" x14ac:dyDescent="0.25">
      <c r="A12" s="9" t="s">
        <v>15</v>
      </c>
      <c r="B12" s="27">
        <v>0.21</v>
      </c>
      <c r="C12" s="16" t="s">
        <v>16</v>
      </c>
      <c r="D12" s="10" t="s">
        <v>7</v>
      </c>
    </row>
    <row r="13" spans="1:5" x14ac:dyDescent="0.25">
      <c r="A13" s="9" t="s">
        <v>17</v>
      </c>
      <c r="B13" s="26">
        <f>1.125*10^-3</f>
        <v>1.1250000000000001E-3</v>
      </c>
      <c r="C13" s="16" t="s">
        <v>47</v>
      </c>
      <c r="D13" s="10" t="s">
        <v>18</v>
      </c>
      <c r="E13" s="8"/>
    </row>
    <row r="14" spans="1:5" x14ac:dyDescent="0.25">
      <c r="A14" s="9" t="s">
        <v>19</v>
      </c>
      <c r="B14" s="27">
        <f>4.55*10^-4</f>
        <v>4.55E-4</v>
      </c>
      <c r="C14" s="16" t="s">
        <v>48</v>
      </c>
      <c r="D14" s="10" t="s">
        <v>18</v>
      </c>
    </row>
    <row r="15" spans="1:5" x14ac:dyDescent="0.25">
      <c r="D15" s="10"/>
    </row>
    <row r="16" spans="1:5" s="1" customFormat="1" x14ac:dyDescent="0.25">
      <c r="A16" s="29" t="s">
        <v>27</v>
      </c>
      <c r="B16" s="29"/>
      <c r="C16" s="29"/>
      <c r="D16" s="4"/>
    </row>
    <row r="17" spans="1:9" ht="25.5" x14ac:dyDescent="0.25">
      <c r="A17" s="9" t="s">
        <v>20</v>
      </c>
      <c r="B17" s="27">
        <v>0.6</v>
      </c>
      <c r="C17" s="16" t="s">
        <v>53</v>
      </c>
      <c r="D17" s="10" t="s">
        <v>21</v>
      </c>
    </row>
    <row r="18" spans="1:9" x14ac:dyDescent="0.25">
      <c r="A18" s="9" t="s">
        <v>22</v>
      </c>
      <c r="B18" s="27">
        <v>0</v>
      </c>
      <c r="C18" s="16" t="s">
        <v>51</v>
      </c>
      <c r="D18" s="10" t="s">
        <v>23</v>
      </c>
    </row>
    <row r="19" spans="1:9" x14ac:dyDescent="0.25">
      <c r="A19" s="9" t="s">
        <v>24</v>
      </c>
      <c r="B19" s="27">
        <v>0</v>
      </c>
      <c r="C19" s="16" t="s">
        <v>49</v>
      </c>
      <c r="D19" s="10" t="s">
        <v>23</v>
      </c>
    </row>
    <row r="20" spans="1:9" x14ac:dyDescent="0.25">
      <c r="A20" s="9" t="s">
        <v>25</v>
      </c>
      <c r="B20" s="27">
        <v>145515.6</v>
      </c>
      <c r="C20" s="16" t="s">
        <v>50</v>
      </c>
      <c r="D20" s="10" t="s">
        <v>26</v>
      </c>
    </row>
    <row r="21" spans="1:9" x14ac:dyDescent="0.25">
      <c r="D21" s="10"/>
      <c r="I21" s="21"/>
    </row>
    <row r="22" spans="1:9" x14ac:dyDescent="0.25">
      <c r="A22" s="12" t="s">
        <v>30</v>
      </c>
      <c r="B22" s="11"/>
      <c r="C22" s="23"/>
      <c r="D22" s="11"/>
      <c r="I22" s="21"/>
    </row>
    <row r="23" spans="1:9" x14ac:dyDescent="0.25">
      <c r="A23" s="13" t="s">
        <v>29</v>
      </c>
      <c r="B23" s="3" t="s">
        <v>32</v>
      </c>
      <c r="C23" s="24" t="s">
        <v>33</v>
      </c>
      <c r="D23" s="14" t="s">
        <v>7</v>
      </c>
      <c r="I23" s="21"/>
    </row>
    <row r="24" spans="1:9" s="15" customFormat="1" ht="19.5" customHeight="1" x14ac:dyDescent="0.25">
      <c r="A24" s="31" t="s">
        <v>31</v>
      </c>
      <c r="B24" s="14">
        <v>0.5</v>
      </c>
      <c r="C24" s="30" t="s">
        <v>52</v>
      </c>
      <c r="D24" s="14" t="s">
        <v>34</v>
      </c>
      <c r="I24" s="21"/>
    </row>
    <row r="25" spans="1:9" x14ac:dyDescent="0.25">
      <c r="I25" s="21"/>
    </row>
    <row r="26" spans="1:9" x14ac:dyDescent="0.25">
      <c r="I26" s="21"/>
    </row>
    <row r="27" spans="1:9" x14ac:dyDescent="0.25">
      <c r="I27" s="21"/>
    </row>
    <row r="28" spans="1:9" x14ac:dyDescent="0.25">
      <c r="A28" s="18"/>
      <c r="I28" s="21"/>
    </row>
    <row r="29" spans="1:9" x14ac:dyDescent="0.25">
      <c r="A29" s="18"/>
    </row>
    <row r="30" spans="1:9" x14ac:dyDescent="0.25">
      <c r="A30" s="18"/>
      <c r="B30" s="3" t="s">
        <v>35</v>
      </c>
    </row>
    <row r="31" spans="1:9" x14ac:dyDescent="0.25">
      <c r="A31" s="18"/>
    </row>
    <row r="32" spans="1:9" x14ac:dyDescent="0.25">
      <c r="A32" s="18"/>
    </row>
    <row r="34" spans="1:10" s="20" customFormat="1" x14ac:dyDescent="0.25">
      <c r="A34" s="19"/>
      <c r="B34" s="19"/>
      <c r="C34" s="25"/>
      <c r="D34" s="19"/>
      <c r="E34" s="19"/>
      <c r="F34" s="19"/>
      <c r="G34" s="19"/>
      <c r="H34" s="19"/>
      <c r="I34" s="19"/>
      <c r="J34" s="19"/>
    </row>
    <row r="35" spans="1:10" x14ac:dyDescent="0.25">
      <c r="A35" s="19"/>
    </row>
    <row r="36" spans="1:10" x14ac:dyDescent="0.25">
      <c r="A36" s="19"/>
    </row>
    <row r="37" spans="1:10" x14ac:dyDescent="0.25">
      <c r="A37" s="19"/>
    </row>
    <row r="38" spans="1:10" x14ac:dyDescent="0.25">
      <c r="A38" s="19"/>
    </row>
    <row r="39" spans="1:10" x14ac:dyDescent="0.25">
      <c r="A39" s="19"/>
    </row>
    <row r="40" spans="1:10" x14ac:dyDescent="0.25">
      <c r="A40" s="19"/>
    </row>
    <row r="41" spans="1:10" x14ac:dyDescent="0.25">
      <c r="A41" s="19"/>
    </row>
    <row r="42" spans="1:10" x14ac:dyDescent="0.25">
      <c r="A42" s="19"/>
    </row>
  </sheetData>
  <mergeCells count="3">
    <mergeCell ref="A16:C16"/>
    <mergeCell ref="A10:C10"/>
    <mergeCell ref="A2:C2"/>
  </mergeCells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Storage_unit_properties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De Simone</dc:creator>
  <cp:lastModifiedBy>Razie Ansari</cp:lastModifiedBy>
  <dcterms:created xsi:type="dcterms:W3CDTF">2020-05-08T18:01:09Z</dcterms:created>
  <dcterms:modified xsi:type="dcterms:W3CDTF">2026-09-15T09:35:28Z</dcterms:modified>
</cp:coreProperties>
</file>